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ALEXANDRE\Job Search\Mercor\Excel Scripts OfficeJS\"/>
    </mc:Choice>
  </mc:AlternateContent>
  <xr:revisionPtr revIDLastSave="0" documentId="13_ncr:1_{87CA9072-1F90-40E3-B4AA-5A1B89567A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9" i="2" l="1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F39" i="2"/>
  <c r="F39" i="2" a="1"/>
  <c r="F38" i="2" a="1"/>
  <c r="F38" i="2" s="1"/>
  <c r="F37" i="2"/>
  <c r="F37" i="2" a="1"/>
  <c r="F36" i="2" a="1"/>
  <c r="F36" i="2" s="1"/>
  <c r="F35" i="2"/>
  <c r="F35" i="2" a="1"/>
  <c r="F34" i="2" a="1"/>
  <c r="F34" i="2" s="1"/>
  <c r="F33" i="2"/>
  <c r="F33" i="2" a="1"/>
  <c r="F32" i="2" a="1"/>
  <c r="F32" i="2" s="1"/>
  <c r="F31" i="2"/>
  <c r="F31" i="2" a="1"/>
  <c r="F30" i="2" a="1"/>
  <c r="F30" i="2" s="1"/>
  <c r="F29" i="2"/>
  <c r="F29" i="2" a="1"/>
  <c r="F28" i="2" a="1"/>
  <c r="F28" i="2" s="1"/>
  <c r="F27" i="2"/>
  <c r="F27" i="2" a="1"/>
  <c r="F26" i="2" a="1"/>
  <c r="F26" i="2" s="1"/>
  <c r="F25" i="2"/>
  <c r="F25" i="2" a="1"/>
  <c r="F24" i="2" a="1"/>
  <c r="F24" i="2" s="1"/>
  <c r="F23" i="2"/>
  <c r="F23" i="2" a="1"/>
  <c r="F22" i="2" a="1"/>
  <c r="F22" i="2" s="1"/>
  <c r="F21" i="2"/>
  <c r="F21" i="2" a="1"/>
  <c r="F20" i="2" a="1"/>
  <c r="F20" i="2" s="1"/>
  <c r="F19" i="2"/>
  <c r="F19" i="2" a="1"/>
  <c r="F18" i="2" a="1"/>
  <c r="F18" i="2" s="1"/>
  <c r="F17" i="2"/>
  <c r="F17" i="2" a="1"/>
  <c r="F16" i="2" a="1"/>
  <c r="F16" i="2" s="1"/>
  <c r="F15" i="2"/>
  <c r="F15" i="2" a="1"/>
  <c r="F14" i="2" a="1"/>
  <c r="F14" i="2" s="1"/>
  <c r="F13" i="2"/>
  <c r="F13" i="2" a="1"/>
  <c r="F12" i="2" a="1"/>
  <c r="F12" i="2" s="1"/>
  <c r="F11" i="2"/>
  <c r="F11" i="2" a="1"/>
  <c r="F10" i="2" a="1"/>
  <c r="F10" i="2" s="1"/>
  <c r="F9" i="2"/>
  <c r="F9" i="2" a="1"/>
  <c r="F8" i="2" a="1"/>
  <c r="F8" i="2" s="1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D39" i="2" a="1"/>
  <c r="D39" i="2" s="1"/>
  <c r="D38" i="2" a="1"/>
  <c r="D38" i="2" s="1"/>
  <c r="D37" i="2" a="1"/>
  <c r="D37" i="2" s="1"/>
  <c r="D36" i="2" a="1"/>
  <c r="D36" i="2" s="1"/>
  <c r="D35" i="2" a="1"/>
  <c r="D35" i="2" s="1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4" i="2" a="1"/>
  <c r="D24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<sst xmlns="http://schemas.openxmlformats.org/spreadsheetml/2006/main" count="827" uniqueCount="221">
  <si>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</si>
  <si>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</si>
  <si>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</si>
  <si>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</si>
  <si>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</si>
  <si>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</si>
  <si>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</si>
  <si>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</si>
  <si>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</si>
  <si>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</si>
  <si>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</si>
  <si>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</si>
  <si>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</si>
  <si>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</si>
  <si>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</si>
  <si>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</si>
  <si>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</si>
  <si>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</si>
  <si>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</si>
  <si>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</si>
  <si>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</si>
  <si>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</si>
  <si>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</si>
  <si>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</si>
  <si>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</si>
  <si>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</si>
  <si>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</si>
  <si>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</si>
  <si>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</si>
  <si>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</si>
  <si>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</si>
  <si>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</si>
  <si>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</si>
  <si>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</si>
  <si>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</si>
  <si>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</si>
  <si>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</si>
  <si>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</si>
  <si>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</si>
  <si>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</si>
  <si>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</si>
  <si>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</si>
  <si>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</si>
  <si>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</si>
  <si>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</si>
  <si>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</si>
  <si>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</si>
  <si>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</si>
  <si>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</si>
  <si>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</si>
  <si>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</si>
  <si>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</si>
  <si>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</si>
  <si>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</si>
  <si>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</si>
  <si>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</si>
  <si>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</si>
  <si>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</si>
  <si>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</si>
  <si>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</si>
  <si>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</si>
  <si>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</si>
  <si>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</si>
  <si>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</si>
  <si>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</si>
  <si>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</si>
  <si>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</si>
  <si>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</si>
  <si>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</si>
  <si>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</si>
  <si>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</si>
  <si>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</si>
  <si>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</si>
  <si>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</si>
  <si>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</si>
  <si>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</si>
  <si>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</si>
  <si>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</si>
  <si>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</si>
  <si>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</si>
  <si>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</si>
  <si>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</si>
  <si>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</si>
  <si>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</si>
  <si>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</si>
  <si>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</si>
  <si>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</si>
  <si>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</si>
  <si>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</si>
  <si>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</si>
  <si>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</si>
  <si>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</si>
  <si>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</si>
  <si>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</si>
  <si>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</si>
  <si>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</si>
  <si>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</si>
  <si>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</si>
  <si>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</si>
  <si>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</si>
  <si>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</si>
  <si>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</si>
  <si>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</si>
  <si>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</si>
  <si>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</si>
  <si>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</si>
  <si>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</si>
  <si>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</si>
  <si>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</si>
  <si>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</si>
  <si>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</si>
  <si>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</si>
  <si>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</si>
  <si>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</si>
  <si>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</si>
  <si>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</si>
  <si>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</si>
  <si>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</si>
  <si>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</si>
  <si>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</si>
  <si>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</si>
  <si>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</si>
  <si>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</si>
  <si>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</si>
  <si>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</si>
  <si>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</si>
  <si>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</si>
  <si>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</si>
  <si>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</si>
  <si>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</si>
  <si>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</si>
  <si>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</si>
  <si>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</si>
  <si>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</si>
  <si>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</si>
  <si>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</si>
  <si>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</si>
  <si>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</si>
  <si>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</si>
  <si>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</si>
  <si>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</si>
  <si>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</si>
  <si>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</si>
  <si>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</si>
  <si>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</si>
  <si>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</si>
  <si>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</si>
  <si>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</si>
  <si>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</si>
  <si>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</si>
  <si>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</si>
  <si>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</si>
  <si>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</si>
  <si>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</si>
  <si>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</si>
  <si>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</si>
  <si>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</si>
  <si>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</si>
  <si>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</si>
  <si>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</si>
  <si>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</si>
  <si>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</si>
  <si>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</si>
  <si>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</si>
  <si>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</si>
  <si>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</si>
  <si>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</si>
  <si>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</si>
  <si>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</si>
  <si>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</si>
  <si>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</si>
  <si>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</si>
  <si>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</si>
  <si>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</si>
  <si>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</si>
  <si>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</si>
  <si>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</si>
  <si>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</si>
  <si>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</si>
  <si>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</si>
  <si>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</si>
  <si>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</si>
  <si>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</si>
  <si>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</si>
  <si>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</si>
  <si>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</si>
  <si>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</si>
  <si>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</si>
  <si>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</si>
  <si>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</si>
  <si>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</si>
  <si>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</si>
  <si>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</si>
  <si>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</si>
  <si>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</si>
  <si>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</si>
  <si>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</si>
  <si>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</si>
  <si>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</si>
  <si>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</si>
  <si>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</si>
  <si>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</si>
  <si>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</si>
  <si>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</si>
  <si>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</si>
  <si>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</si>
  <si>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</si>
  <si>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</si>
  <si>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</si>
  <si>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</si>
  <si>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</si>
  <si>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</si>
  <si>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</si>
  <si>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</si>
  <si>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</si>
  <si>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</si>
  <si>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</si>
  <si>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</si>
  <si>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</si>
  <si>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Area</t>
  </si>
  <si>
    <t>Create clustered column chart with quarterly margins by product and secondary axis line for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</si>
</sst>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€&quot;#,##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3CE518-A910-4919-9D95-6D1C55265D5C}">
  <we:reference id="f7fc1966-8226-4e6e-9dc2-3030f8f233f4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_xldudf_CONTOSO_ADD</we:customFunctionIds>
        <we:customFunctionIds>_xldudf_CONTOSO_CLOCK</we:customFunctionIds>
        <we:customFunctionIds>_xldudf_CONTOSO_INCREMENT</we:customFunctionIds>
        <we:customFunctionIds>_xldudf_CONTOSO_LOG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 x14ac:dyDescent="0.25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 x14ac:dyDescent="0.25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 x14ac:dyDescent="0.25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 x14ac:dyDescent="0.25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 x14ac:dyDescent="0.25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 x14ac:dyDescent="0.25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 x14ac:dyDescent="0.25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 x14ac:dyDescent="0.25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 x14ac:dyDescent="0.25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 x14ac:dyDescent="0.25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 x14ac:dyDescent="0.25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 x14ac:dyDescent="0.25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 x14ac:dyDescent="0.25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 x14ac:dyDescent="0.25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 x14ac:dyDescent="0.25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 x14ac:dyDescent="0.25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 x14ac:dyDescent="0.25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 x14ac:dyDescent="0.25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 x14ac:dyDescent="0.25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 x14ac:dyDescent="0.25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 x14ac:dyDescent="0.25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 x14ac:dyDescent="0.25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 x14ac:dyDescent="0.25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 x14ac:dyDescent="0.25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 x14ac:dyDescent="0.25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 x14ac:dyDescent="0.25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 x14ac:dyDescent="0.25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 x14ac:dyDescent="0.25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 x14ac:dyDescent="0.25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 x14ac:dyDescent="0.25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 x14ac:dyDescent="0.25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 x14ac:dyDescent="0.25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 x14ac:dyDescent="0.25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 x14ac:dyDescent="0.25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 x14ac:dyDescent="0.25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 x14ac:dyDescent="0.25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 x14ac:dyDescent="0.25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 x14ac:dyDescent="0.25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 x14ac:dyDescent="0.25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 x14ac:dyDescent="0.25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 x14ac:dyDescent="0.25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 x14ac:dyDescent="0.25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 x14ac:dyDescent="0.25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 x14ac:dyDescent="0.25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 x14ac:dyDescent="0.25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 x14ac:dyDescent="0.25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 x14ac:dyDescent="0.25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 x14ac:dyDescent="0.25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 x14ac:dyDescent="0.25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 x14ac:dyDescent="0.25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 x14ac:dyDescent="0.25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 x14ac:dyDescent="0.25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 x14ac:dyDescent="0.25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 x14ac:dyDescent="0.25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 x14ac:dyDescent="0.25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 x14ac:dyDescent="0.25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 x14ac:dyDescent="0.25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 x14ac:dyDescent="0.25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 x14ac:dyDescent="0.25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 x14ac:dyDescent="0.25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 x14ac:dyDescent="0.25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 x14ac:dyDescent="0.25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 x14ac:dyDescent="0.25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 x14ac:dyDescent="0.25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 x14ac:dyDescent="0.25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 x14ac:dyDescent="0.25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 x14ac:dyDescent="0.25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 x14ac:dyDescent="0.25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 x14ac:dyDescent="0.25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 x14ac:dyDescent="0.25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 x14ac:dyDescent="0.25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 x14ac:dyDescent="0.25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 x14ac:dyDescent="0.25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 x14ac:dyDescent="0.25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 x14ac:dyDescent="0.25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 x14ac:dyDescent="0.25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 x14ac:dyDescent="0.25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 x14ac:dyDescent="0.25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 x14ac:dyDescent="0.25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 x14ac:dyDescent="0.25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 x14ac:dyDescent="0.25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 x14ac:dyDescent="0.25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 x14ac:dyDescent="0.25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 x14ac:dyDescent="0.25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 x14ac:dyDescent="0.25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 x14ac:dyDescent="0.25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 x14ac:dyDescent="0.25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 x14ac:dyDescent="0.25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 x14ac:dyDescent="0.25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 x14ac:dyDescent="0.25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 x14ac:dyDescent="0.25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 x14ac:dyDescent="0.25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 x14ac:dyDescent="0.25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 x14ac:dyDescent="0.25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 x14ac:dyDescent="0.25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 x14ac:dyDescent="0.25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 x14ac:dyDescent="0.25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 x14ac:dyDescent="0.25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 x14ac:dyDescent="0.25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 x14ac:dyDescent="0.25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 x14ac:dyDescent="0.25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 x14ac:dyDescent="0.25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 x14ac:dyDescent="0.25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 x14ac:dyDescent="0.25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 x14ac:dyDescent="0.25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 x14ac:dyDescent="0.25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 x14ac:dyDescent="0.25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 x14ac:dyDescent="0.25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 x14ac:dyDescent="0.25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 x14ac:dyDescent="0.25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 x14ac:dyDescent="0.25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 x14ac:dyDescent="0.25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 x14ac:dyDescent="0.25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 x14ac:dyDescent="0.25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 x14ac:dyDescent="0.25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 x14ac:dyDescent="0.25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 x14ac:dyDescent="0.25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 x14ac:dyDescent="0.25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 x14ac:dyDescent="0.25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 x14ac:dyDescent="0.25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 x14ac:dyDescent="0.25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 x14ac:dyDescent="0.25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 x14ac:dyDescent="0.25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 x14ac:dyDescent="0.25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 x14ac:dyDescent="0.25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 x14ac:dyDescent="0.25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 x14ac:dyDescent="0.25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 x14ac:dyDescent="0.25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 x14ac:dyDescent="0.25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 x14ac:dyDescent="0.25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 x14ac:dyDescent="0.25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 x14ac:dyDescent="0.25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 x14ac:dyDescent="0.25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 x14ac:dyDescent="0.25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 x14ac:dyDescent="0.25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 x14ac:dyDescent="0.25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 x14ac:dyDescent="0.25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 x14ac:dyDescent="0.25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 x14ac:dyDescent="0.25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 x14ac:dyDescent="0.25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 x14ac:dyDescent="0.25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 x14ac:dyDescent="0.25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 x14ac:dyDescent="0.25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 x14ac:dyDescent="0.25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 x14ac:dyDescent="0.25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 x14ac:dyDescent="0.25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 x14ac:dyDescent="0.25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 x14ac:dyDescent="0.25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 x14ac:dyDescent="0.25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 x14ac:dyDescent="0.25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 x14ac:dyDescent="0.25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 x14ac:dyDescent="0.25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 x14ac:dyDescent="0.25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 x14ac:dyDescent="0.25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 x14ac:dyDescent="0.25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 x14ac:dyDescent="0.25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 x14ac:dyDescent="0.25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 x14ac:dyDescent="0.25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 x14ac:dyDescent="0.25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 x14ac:dyDescent="0.25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 x14ac:dyDescent="0.25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 x14ac:dyDescent="0.25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 x14ac:dyDescent="0.25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 x14ac:dyDescent="0.25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 x14ac:dyDescent="0.25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 x14ac:dyDescent="0.25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 x14ac:dyDescent="0.25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 x14ac:dyDescent="0.25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 x14ac:dyDescent="0.25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 x14ac:dyDescent="0.25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 x14ac:dyDescent="0.25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 x14ac:dyDescent="0.25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 x14ac:dyDescent="0.25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 x14ac:dyDescent="0.25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 x14ac:dyDescent="0.25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 x14ac:dyDescent="0.25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 x14ac:dyDescent="0.25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 x14ac:dyDescent="0.25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 x14ac:dyDescent="0.25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 x14ac:dyDescent="0.25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 x14ac:dyDescent="0.25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 x14ac:dyDescent="0.25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 x14ac:dyDescent="0.25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 x14ac:dyDescent="0.25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 x14ac:dyDescent="0.25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topLeftCell="A31" workbookViewId="0">
      <selection activeCell="D50" sqref="D50"/>
    </sheetView>
  </sheetViews>
  <sheetFormatPr baseColWidth="10" defaultColWidth="9.140625" defaultRowHeight="15" x14ac:dyDescent="0.25"/>
  <cols>
    <col min="1" max="1" width="18" customWidth="1"/>
    <col min="2" max="2" width="12" customWidth="1"/>
    <col min="3" max="3" width="14" customWidth="1"/>
    <col min="4" max="5" width="18" customWidth="1"/>
    <col min="6" max="6" width="16" customWidth="1"/>
    <col min="7" max="7" width="14" customWidth="1"/>
  </cols>
  <sheetData>
    <row r="1" spans="1:8" ht="18.75" x14ac:dyDescent="0.3">
      <c r="A1" s="7" t="s">
        <v>203</v>
      </c>
      <c r="B1" s="6"/>
      <c r="C1" s="6"/>
      <c r="D1" s="6"/>
      <c r="E1" s="6"/>
      <c r="F1" s="6"/>
      <c r="G1" s="6"/>
      <c r="H1" s="6"/>
    </row>
    <row r="3" spans="1:8" x14ac:dyDescent="0.25">
      <c r="A3" s="5" t="s">
        <v>204</v>
      </c>
      <c r="B3" s="6"/>
      <c r="C3" s="6"/>
      <c r="D3" s="6"/>
      <c r="E3" s="6"/>
      <c r="F3" s="6"/>
      <c r="G3" s="6"/>
      <c r="H3" s="6"/>
    </row>
    <row r="5" spans="1:8" ht="15.75" x14ac:dyDescent="0.25">
      <c r="A5" s="3" t="s">
        <v>205</v>
      </c>
    </row>
    <row r="7" spans="1:8" ht="30" x14ac:dyDescent="0.25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 x14ac:dyDescent="0.25">
      <c r="A8" t="s">
        <v>10</v>
      </c>
      <c r="B8" t="s">
        <v>211</v>
      </c>
      <c r="C8" s="8">
        <f>SUMIFS('Raw Data'!$E$2:$E$187,'Raw Data'!$D$2:$D$187,$A8,'Raw Data'!$B$2:$B$187,VALUE(LEFT($B8,4)),'Raw Data'!$C$2:$C$187,RIGHT($B8,2))</f>
        <v>117245</v>
      </c>
      <c r="D8" s="9" cm="1">
        <f t="array" ref="D8">SUMPRODUCT(('Raw Data'!$D$2:$D$187=$A8)*('Raw Data'!$B$2:$B$187=(LEFT($B8,4)))*('Raw Data'!$C$2:$C$187=RIGHT($B8,2))*'Raw Data'!$G$2:$G$187)/C8</f>
        <v>0.37630713463260695</v>
      </c>
      <c r="E8" s="9" t="str">
        <f>IF(AND(LEFT($B8,4)="2023",RIGHT($B8,2)="Q1"),"N/A",D8-D7)</f>
        <v>N/A</v>
      </c>
      <c r="F8" s="9" t="str" cm="1">
        <f t="array" ref="F8">IF(LEFT($B8,4)="2023","N/A",D8-INDEX($D$8:$D$39,MATCH($A8&amp;LEFT($B8,4)-1&amp;RIGHT($B8,2),$A$8:$A$39&amp;LEFT($B$8:$B$39,4)&amp;RIGHT($B$8:$B$39,2),0)))</f>
        <v>N/A</v>
      </c>
      <c r="G8" s="9" t="str">
        <f>IF(D8&gt;0.35,"Strong",IF(D8&gt;=0.2,"Moderate","At Risk"))</f>
        <v>Strong</v>
      </c>
    </row>
    <row r="9" spans="1:8" x14ac:dyDescent="0.25">
      <c r="A9" t="s">
        <v>10</v>
      </c>
      <c r="B9" t="s">
        <v>212</v>
      </c>
      <c r="C9" s="8">
        <f>SUMIFS('Raw Data'!$E$2:$E$187,'Raw Data'!$D$2:$D$187,$A9,'Raw Data'!$B$2:$B$187,VALUE(LEFT($B9,4)),'Raw Data'!$C$2:$C$187,RIGHT($B9,2))</f>
        <v>158778</v>
      </c>
      <c r="D9" s="9" cm="1">
        <f t="array" ref="D9">SUMPRODUCT(('Raw Data'!$D$2:$D$187=$A9)*('Raw Data'!$B$2:$B$187=(LEFT($B9,4)))*('Raw Data'!$C$2:$C$187=RIGHT($B9,2))*'Raw Data'!$G$2:$G$187)/C9</f>
        <v>0.35548514277796672</v>
      </c>
      <c r="E9" s="9">
        <f t="shared" ref="E9:E39" si="0">IF(AND(LEFT($B9,4)="2023",RIGHT($B9,2)="Q1"),"N/A",D9-D8)</f>
        <v>-2.0821991854640232E-2</v>
      </c>
      <c r="F9" s="9" t="str" cm="1">
        <f t="array" ref="F9">IF(LEFT($B9,4)="2023","N/A",D9-INDEX($D$8:$D$39,MATCH($A9&amp;LEFT($B9,4)-1&amp;RIGHT($B9,2),$A$8:$A$39&amp;LEFT($B$8:$B$39,4)&amp;RIGHT($B$8:$B$39,2),0)))</f>
        <v>N/A</v>
      </c>
      <c r="G9" s="9" t="str">
        <f t="shared" ref="G9:G39" si="1">IF(D9&gt;0.35,"Strong",IF(D9&gt;=0.2,"Moderate","At Risk"))</f>
        <v>Strong</v>
      </c>
    </row>
    <row r="10" spans="1:8" x14ac:dyDescent="0.25">
      <c r="A10" t="s">
        <v>10</v>
      </c>
      <c r="B10" t="s">
        <v>213</v>
      </c>
      <c r="C10" s="8">
        <f>SUMIFS('Raw Data'!$E$2:$E$187,'Raw Data'!$D$2:$D$187,$A10,'Raw Data'!$B$2:$B$187,VALUE(LEFT($B10,4)),'Raw Data'!$C$2:$C$187,RIGHT($B10,2))</f>
        <v>139128</v>
      </c>
      <c r="D10" s="9" cm="1">
        <f t="array" ref="D10">SUMPRODUCT(('Raw Data'!$D$2:$D$187=$A10)*('Raw Data'!$B$2:$B$187=(LEFT($B10,4)))*('Raw Data'!$C$2:$C$187=RIGHT($B10,2))*'Raw Data'!$G$2:$G$187)/C10</f>
        <v>0.36162634408602157</v>
      </c>
      <c r="E10" s="9">
        <f t="shared" si="0"/>
        <v>6.1412013080548444E-3</v>
      </c>
      <c r="F10" s="9" t="str" cm="1">
        <f t="array" ref="F10">IF(LEFT($B10,4)="2023","N/A",D10-INDEX($D$8:$D$39,MATCH($A10&amp;LEFT($B10,4)-1&amp;RIGHT($B10,2),$A$8:$A$39&amp;LEFT($B$8:$B$39,4)&amp;RIGHT($B$8:$B$39,2),0)))</f>
        <v>N/A</v>
      </c>
      <c r="G10" s="9" t="str">
        <f t="shared" si="1"/>
        <v>Strong</v>
      </c>
    </row>
    <row r="11" spans="1:8" x14ac:dyDescent="0.25">
      <c r="A11" t="s">
        <v>10</v>
      </c>
      <c r="B11" t="s">
        <v>214</v>
      </c>
      <c r="C11" s="8">
        <f>SUMIFS('Raw Data'!$E$2:$E$187,'Raw Data'!$D$2:$D$187,$A11,'Raw Data'!$B$2:$B$187,VALUE(LEFT($B11,4)),'Raw Data'!$C$2:$C$187,RIGHT($B11,2))</f>
        <v>195263</v>
      </c>
      <c r="D11" s="9" cm="1">
        <f t="array" ref="D11">SUMPRODUCT(('Raw Data'!$D$2:$D$187=$A11)*('Raw Data'!$B$2:$B$187=(LEFT($B11,4)))*('Raw Data'!$C$2:$C$187=RIGHT($B11,2))*'Raw Data'!$G$2:$G$187)/C11</f>
        <v>0.38824431663960912</v>
      </c>
      <c r="E11" s="9">
        <f t="shared" si="0"/>
        <v>2.6617972553587554E-2</v>
      </c>
      <c r="F11" s="9" t="str" cm="1">
        <f t="array" ref="F11">IF(LEFT($B11,4)="2023","N/A",D11-INDEX($D$8:$D$39,MATCH($A11&amp;LEFT($B11,4)-1&amp;RIGHT($B11,2),$A$8:$A$39&amp;LEFT($B$8:$B$39,4)&amp;RIGHT($B$8:$B$39,2),0)))</f>
        <v>N/A</v>
      </c>
      <c r="G11" s="9" t="str">
        <f t="shared" si="1"/>
        <v>Strong</v>
      </c>
    </row>
    <row r="12" spans="1:8" x14ac:dyDescent="0.25">
      <c r="A12" t="s">
        <v>10</v>
      </c>
      <c r="B12" t="s">
        <v>215</v>
      </c>
      <c r="C12" s="8">
        <f>SUMIFS('Raw Data'!$E$2:$E$187,'Raw Data'!$D$2:$D$187,$A12,'Raw Data'!$B$2:$B$187,VALUE(LEFT($B12,4)),'Raw Data'!$C$2:$C$187,RIGHT($B12,2))</f>
        <v>230966</v>
      </c>
      <c r="D12" s="9" cm="1">
        <f t="array" ref="D12">SUMPRODUCT(('Raw Data'!$D$2:$D$187=$A12)*('Raw Data'!$B$2:$B$187=(LEFT($B12,4)))*('Raw Data'!$C$2:$C$187=RIGHT($B12,2))*'Raw Data'!$G$2:$G$187)/C12</f>
        <v>0.39270096031450513</v>
      </c>
      <c r="E12" s="9">
        <f t="shared" si="0"/>
        <v>4.4566436748960103E-3</v>
      </c>
      <c r="F12" s="9" cm="1">
        <f t="array" ref="F12">IF(LEFT($B12,4)="2023","N/A",D12-INDEX($D$8:$D$39,MATCH($A12&amp;LEFT($B12,4)-1&amp;RIGHT($B12,2),$A$8:$A$39&amp;LEFT($B$8:$B$39,4)&amp;RIGHT($B$8:$B$39,2),0)))</f>
        <v>1.6393825681898178E-2</v>
      </c>
      <c r="G12" s="9" t="str">
        <f t="shared" si="1"/>
        <v>Strong</v>
      </c>
    </row>
    <row r="13" spans="1:8" x14ac:dyDescent="0.25">
      <c r="A13" t="s">
        <v>10</v>
      </c>
      <c r="B13" t="s">
        <v>216</v>
      </c>
      <c r="C13" s="8">
        <f>SUMIFS('Raw Data'!$E$2:$E$187,'Raw Data'!$D$2:$D$187,$A13,'Raw Data'!$B$2:$B$187,VALUE(LEFT($B13,4)),'Raw Data'!$C$2:$C$187,RIGHT($B13,2))</f>
        <v>142170</v>
      </c>
      <c r="D13" s="9" cm="1">
        <f t="array" ref="D13">SUMPRODUCT(('Raw Data'!$D$2:$D$187=$A13)*('Raw Data'!$B$2:$B$187=(LEFT($B13,4)))*('Raw Data'!$C$2:$C$187=RIGHT($B13,2))*'Raw Data'!$G$2:$G$187)/C13</f>
        <v>0.41061813322079205</v>
      </c>
      <c r="E13" s="9">
        <f t="shared" si="0"/>
        <v>1.7917172906286916E-2</v>
      </c>
      <c r="F13" s="9" cm="1">
        <f t="array" ref="F13">IF(LEFT($B13,4)="2023","N/A",D13-INDEX($D$8:$D$39,MATCH($A13&amp;LEFT($B13,4)-1&amp;RIGHT($B13,2),$A$8:$A$39&amp;LEFT($B$8:$B$39,4)&amp;RIGHT($B$8:$B$39,2),0)))</f>
        <v>5.5132990442825325E-2</v>
      </c>
      <c r="G13" s="9" t="str">
        <f t="shared" si="1"/>
        <v>Strong</v>
      </c>
    </row>
    <row r="14" spans="1:8" x14ac:dyDescent="0.25">
      <c r="A14" t="s">
        <v>10</v>
      </c>
      <c r="B14" t="s">
        <v>217</v>
      </c>
      <c r="C14" s="8">
        <f>SUMIFS('Raw Data'!$E$2:$E$187,'Raw Data'!$D$2:$D$187,$A14,'Raw Data'!$B$2:$B$187,VALUE(LEFT($B14,4)),'Raw Data'!$C$2:$C$187,RIGHT($B14,2))</f>
        <v>196327</v>
      </c>
      <c r="D14" s="9" cm="1">
        <f t="array" ref="D14">SUMPRODUCT(('Raw Data'!$D$2:$D$187=$A14)*('Raw Data'!$B$2:$B$187=(LEFT($B14,4)))*('Raw Data'!$C$2:$C$187=RIGHT($B14,2))*'Raw Data'!$G$2:$G$187)/C14</f>
        <v>0.40558333800241431</v>
      </c>
      <c r="E14" s="9">
        <f t="shared" si="0"/>
        <v>-5.0347952183777411E-3</v>
      </c>
      <c r="F14" s="9" cm="1">
        <f t="array" ref="F14">IF(LEFT($B14,4)="2023","N/A",D14-INDEX($D$8:$D$39,MATCH($A14&amp;LEFT($B14,4)-1&amp;RIGHT($B14,2),$A$8:$A$39&amp;LEFT($B$8:$B$39,4)&amp;RIGHT($B$8:$B$39,2),0)))</f>
        <v>4.3956993916392739E-2</v>
      </c>
      <c r="G14" s="9" t="str">
        <f t="shared" si="1"/>
        <v>Strong</v>
      </c>
    </row>
    <row r="15" spans="1:8" x14ac:dyDescent="0.25">
      <c r="A15" t="s">
        <v>10</v>
      </c>
      <c r="B15" t="s">
        <v>218</v>
      </c>
      <c r="C15" s="8">
        <f>SUMIFS('Raw Data'!$E$2:$E$187,'Raw Data'!$D$2:$D$187,$A15,'Raw Data'!$B$2:$B$187,VALUE(LEFT($B15,4)),'Raw Data'!$C$2:$C$187,RIGHT($B15,2))</f>
        <v>156548</v>
      </c>
      <c r="D15" s="9" cm="1">
        <f t="array" ref="D15">SUMPRODUCT(('Raw Data'!$D$2:$D$187=$A15)*('Raw Data'!$B$2:$B$187=(LEFT($B15,4)))*('Raw Data'!$C$2:$C$187=RIGHT($B15,2))*'Raw Data'!$G$2:$G$187)/C15</f>
        <v>0.3982755448808033</v>
      </c>
      <c r="E15" s="9">
        <f t="shared" si="0"/>
        <v>-7.3077931216110059E-3</v>
      </c>
      <c r="F15" s="9" cm="1">
        <f t="array" ref="F15">IF(LEFT($B15,4)="2023","N/A",D15-INDEX($D$8:$D$39,MATCH($A15&amp;LEFT($B15,4)-1&amp;RIGHT($B15,2),$A$8:$A$39&amp;LEFT($B$8:$B$39,4)&amp;RIGHT($B$8:$B$39,2),0)))</f>
        <v>1.0031228241194179E-2</v>
      </c>
      <c r="G15" s="9" t="str">
        <f t="shared" si="1"/>
        <v>Strong</v>
      </c>
    </row>
    <row r="16" spans="1:8" x14ac:dyDescent="0.25">
      <c r="A16" t="s">
        <v>15</v>
      </c>
      <c r="B16" t="s">
        <v>211</v>
      </c>
      <c r="C16" s="8">
        <f>SUMIFS('Raw Data'!$E$2:$E$187,'Raw Data'!$D$2:$D$187,$A16,'Raw Data'!$B$2:$B$187,VALUE(LEFT($B16,4)),'Raw Data'!$C$2:$C$187,RIGHT($B16,2))</f>
        <v>71969</v>
      </c>
      <c r="D16" s="9" cm="1">
        <f t="array" ref="D16">SUMPRODUCT(('Raw Data'!$D$2:$D$187=$A16)*('Raw Data'!$B$2:$B$187=(LEFT($B16,4)))*('Raw Data'!$C$2:$C$187=RIGHT($B16,2))*'Raw Data'!$G$2:$G$187)/C16</f>
        <v>0.26717364420792289</v>
      </c>
      <c r="E16" s="9" t="str">
        <f t="shared" si="0"/>
        <v>N/A</v>
      </c>
      <c r="F16" s="9" t="str" cm="1">
        <f t="array" ref="F16">IF(LEFT($B16,4)="2023","N/A",D16-INDEX($D$8:$D$39,MATCH($A16&amp;LEFT($B16,4)-1&amp;RIGHT($B16,2),$A$8:$A$39&amp;LEFT($B$8:$B$39,4)&amp;RIGHT($B$8:$B$39,2),0)))</f>
        <v>N/A</v>
      </c>
      <c r="G16" s="9" t="str">
        <f t="shared" si="1"/>
        <v>Moderate</v>
      </c>
    </row>
    <row r="17" spans="1:7" x14ac:dyDescent="0.25">
      <c r="A17" t="s">
        <v>15</v>
      </c>
      <c r="B17" t="s">
        <v>212</v>
      </c>
      <c r="C17" s="8">
        <f>SUMIFS('Raw Data'!$E$2:$E$187,'Raw Data'!$D$2:$D$187,$A17,'Raw Data'!$B$2:$B$187,VALUE(LEFT($B17,4)),'Raw Data'!$C$2:$C$187,RIGHT($B17,2))</f>
        <v>88594</v>
      </c>
      <c r="D17" s="9" cm="1">
        <f t="array" ref="D17">SUMPRODUCT(('Raw Data'!$D$2:$D$187=$A17)*('Raw Data'!$B$2:$B$187=(LEFT($B17,4)))*('Raw Data'!$C$2:$C$187=RIGHT($B17,2))*'Raw Data'!$G$2:$G$187)/C17</f>
        <v>0.26956881955888656</v>
      </c>
      <c r="E17" s="9">
        <f t="shared" si="0"/>
        <v>2.3951753509636742E-3</v>
      </c>
      <c r="F17" s="9" t="str" cm="1">
        <f t="array" ref="F17">IF(LEFT($B17,4)="2023","N/A",D17-INDEX($D$8:$D$39,MATCH($A17&amp;LEFT($B17,4)-1&amp;RIGHT($B17,2),$A$8:$A$39&amp;LEFT($B$8:$B$39,4)&amp;RIGHT($B$8:$B$39,2),0)))</f>
        <v>N/A</v>
      </c>
      <c r="G17" s="9" t="str">
        <f t="shared" si="1"/>
        <v>Moderate</v>
      </c>
    </row>
    <row r="18" spans="1:7" x14ac:dyDescent="0.25">
      <c r="A18" t="s">
        <v>15</v>
      </c>
      <c r="B18" t="s">
        <v>213</v>
      </c>
      <c r="C18" s="8">
        <f>SUMIFS('Raw Data'!$E$2:$E$187,'Raw Data'!$D$2:$D$187,$A18,'Raw Data'!$B$2:$B$187,VALUE(LEFT($B18,4)),'Raw Data'!$C$2:$C$187,RIGHT($B18,2))</f>
        <v>122105</v>
      </c>
      <c r="D18" s="9" cm="1">
        <f t="array" ref="D18">SUMPRODUCT(('Raw Data'!$D$2:$D$187=$A18)*('Raw Data'!$B$2:$B$187=(LEFT($B18,4)))*('Raw Data'!$C$2:$C$187=RIGHT($B18,2))*'Raw Data'!$G$2:$G$187)/C18</f>
        <v>0.27581990909463167</v>
      </c>
      <c r="E18" s="9">
        <f t="shared" si="0"/>
        <v>6.2510895357451024E-3</v>
      </c>
      <c r="F18" s="9" t="str" cm="1">
        <f t="array" ref="F18">IF(LEFT($B18,4)="2023","N/A",D18-INDEX($D$8:$D$39,MATCH($A18&amp;LEFT($B18,4)-1&amp;RIGHT($B18,2),$A$8:$A$39&amp;LEFT($B$8:$B$39,4)&amp;RIGHT($B$8:$B$39,2),0)))</f>
        <v>N/A</v>
      </c>
      <c r="G18" s="9" t="str">
        <f t="shared" si="1"/>
        <v>Moderate</v>
      </c>
    </row>
    <row r="19" spans="1:7" x14ac:dyDescent="0.25">
      <c r="A19" t="s">
        <v>15</v>
      </c>
      <c r="B19" t="s">
        <v>214</v>
      </c>
      <c r="C19" s="8">
        <f>SUMIFS('Raw Data'!$E$2:$E$187,'Raw Data'!$D$2:$D$187,$A19,'Raw Data'!$B$2:$B$187,VALUE(LEFT($B19,4)),'Raw Data'!$C$2:$C$187,RIGHT($B19,2))</f>
        <v>151829</v>
      </c>
      <c r="D19" s="9" cm="1">
        <f t="array" ref="D19">SUMPRODUCT(('Raw Data'!$D$2:$D$187=$A19)*('Raw Data'!$B$2:$B$187=(LEFT($B19,4)))*('Raw Data'!$C$2:$C$187=RIGHT($B19,2))*'Raw Data'!$G$2:$G$187)/C19</f>
        <v>0.29905670194758582</v>
      </c>
      <c r="E19" s="9">
        <f t="shared" si="0"/>
        <v>2.3236792852954158E-2</v>
      </c>
      <c r="F19" s="9" t="str" cm="1">
        <f t="array" ref="F19">IF(LEFT($B19,4)="2023","N/A",D19-INDEX($D$8:$D$39,MATCH($A19&amp;LEFT($B19,4)-1&amp;RIGHT($B19,2),$A$8:$A$39&amp;LEFT($B$8:$B$39,4)&amp;RIGHT($B$8:$B$39,2),0)))</f>
        <v>N/A</v>
      </c>
      <c r="G19" s="9" t="str">
        <f t="shared" si="1"/>
        <v>Moderate</v>
      </c>
    </row>
    <row r="20" spans="1:7" x14ac:dyDescent="0.25">
      <c r="A20" t="s">
        <v>15</v>
      </c>
      <c r="B20" t="s">
        <v>215</v>
      </c>
      <c r="C20" s="8">
        <f>SUMIFS('Raw Data'!$E$2:$E$187,'Raw Data'!$D$2:$D$187,$A20,'Raw Data'!$B$2:$B$187,VALUE(LEFT($B20,4)),'Raw Data'!$C$2:$C$187,RIGHT($B20,2))</f>
        <v>96328</v>
      </c>
      <c r="D20" s="9" cm="1">
        <f t="array" ref="D20">SUMPRODUCT(('Raw Data'!$D$2:$D$187=$A20)*('Raw Data'!$B$2:$B$187=(LEFT($B20,4)))*('Raw Data'!$C$2:$C$187=RIGHT($B20,2))*'Raw Data'!$G$2:$G$187)/C20</f>
        <v>0.29513703180798934</v>
      </c>
      <c r="E20" s="9">
        <f t="shared" si="0"/>
        <v>-3.9196701395964872E-3</v>
      </c>
      <c r="F20" s="9" cm="1">
        <f t="array" ref="F20">IF(LEFT($B20,4)="2023","N/A",D20-INDEX($D$8:$D$39,MATCH($A20&amp;LEFT($B20,4)-1&amp;RIGHT($B20,2),$A$8:$A$39&amp;LEFT($B$8:$B$39,4)&amp;RIGHT($B$8:$B$39,2),0)))</f>
        <v>2.7963387600066447E-2</v>
      </c>
      <c r="G20" s="9" t="str">
        <f t="shared" si="1"/>
        <v>Moderate</v>
      </c>
    </row>
    <row r="21" spans="1:7" x14ac:dyDescent="0.25">
      <c r="A21" t="s">
        <v>15</v>
      </c>
      <c r="B21" t="s">
        <v>216</v>
      </c>
      <c r="C21" s="8">
        <f>SUMIFS('Raw Data'!$E$2:$E$187,'Raw Data'!$D$2:$D$187,$A21,'Raw Data'!$B$2:$B$187,VALUE(LEFT($B21,4)),'Raw Data'!$C$2:$C$187,RIGHT($B21,2))</f>
        <v>86702</v>
      </c>
      <c r="D21" s="9" cm="1">
        <f t="array" ref="D21">SUMPRODUCT(('Raw Data'!$D$2:$D$187=$A21)*('Raw Data'!$B$2:$B$187=(LEFT($B21,4)))*('Raw Data'!$C$2:$C$187=RIGHT($B21,2))*'Raw Data'!$G$2:$G$187)/C21</f>
        <v>0.30790754538534293</v>
      </c>
      <c r="E21" s="9">
        <f t="shared" si="0"/>
        <v>1.2770513577353593E-2</v>
      </c>
      <c r="F21" s="9" cm="1">
        <f t="array" ref="F21">IF(LEFT($B21,4)="2023","N/A",D21-INDEX($D$8:$D$39,MATCH($A21&amp;LEFT($B21,4)-1&amp;RIGHT($B21,2),$A$8:$A$39&amp;LEFT($B$8:$B$39,4)&amp;RIGHT($B$8:$B$39,2),0)))</f>
        <v>3.8338725826456366E-2</v>
      </c>
      <c r="G21" s="9" t="str">
        <f t="shared" si="1"/>
        <v>Moderate</v>
      </c>
    </row>
    <row r="22" spans="1:7" x14ac:dyDescent="0.25">
      <c r="A22" t="s">
        <v>15</v>
      </c>
      <c r="B22" t="s">
        <v>217</v>
      </c>
      <c r="C22" s="8">
        <f>SUMIFS('Raw Data'!$E$2:$E$187,'Raw Data'!$D$2:$D$187,$A22,'Raw Data'!$B$2:$B$187,VALUE(LEFT($B22,4)),'Raw Data'!$C$2:$C$187,RIGHT($B22,2))</f>
        <v>53111</v>
      </c>
      <c r="D22" s="9" cm="1">
        <f t="array" ref="D22">SUMPRODUCT(('Raw Data'!$D$2:$D$187=$A22)*('Raw Data'!$B$2:$B$187=(LEFT($B22,4)))*('Raw Data'!$C$2:$C$187=RIGHT($B22,2))*'Raw Data'!$G$2:$G$187)/C22</f>
        <v>0.32837754890700604</v>
      </c>
      <c r="E22" s="9">
        <f t="shared" si="0"/>
        <v>2.0470003521663116E-2</v>
      </c>
      <c r="F22" s="9" cm="1">
        <f t="array" ref="F22">IF(LEFT($B22,4)="2023","N/A",D22-INDEX($D$8:$D$39,MATCH($A22&amp;LEFT($B22,4)-1&amp;RIGHT($B22,2),$A$8:$A$39&amp;LEFT($B$8:$B$39,4)&amp;RIGHT($B$8:$B$39,2),0)))</f>
        <v>5.2557639812374379E-2</v>
      </c>
      <c r="G22" s="9" t="str">
        <f t="shared" si="1"/>
        <v>Moderate</v>
      </c>
    </row>
    <row r="23" spans="1:7" x14ac:dyDescent="0.25">
      <c r="A23" t="s">
        <v>15</v>
      </c>
      <c r="B23" t="s">
        <v>218</v>
      </c>
      <c r="C23" s="8">
        <f>SUMIFS('Raw Data'!$E$2:$E$187,'Raw Data'!$D$2:$D$187,$A23,'Raw Data'!$B$2:$B$187,VALUE(LEFT($B23,4)),'Raw Data'!$C$2:$C$187,RIGHT($B23,2))</f>
        <v>79096</v>
      </c>
      <c r="D23" s="9" cm="1">
        <f t="array" ref="D23">SUMPRODUCT(('Raw Data'!$D$2:$D$187=$A23)*('Raw Data'!$B$2:$B$187=(LEFT($B23,4)))*('Raw Data'!$C$2:$C$187=RIGHT($B23,2))*'Raw Data'!$G$2:$G$187)/C23</f>
        <v>0.31844897339941336</v>
      </c>
      <c r="E23" s="9">
        <f t="shared" si="0"/>
        <v>-9.9285755075926851E-3</v>
      </c>
      <c r="F23" s="9" cm="1">
        <f t="array" ref="F23">IF(LEFT($B23,4)="2023","N/A",D23-INDEX($D$8:$D$39,MATCH($A23&amp;LEFT($B23,4)-1&amp;RIGHT($B23,2),$A$8:$A$39&amp;LEFT($B$8:$B$39,4)&amp;RIGHT($B$8:$B$39,2),0)))</f>
        <v>1.9392271451827536E-2</v>
      </c>
      <c r="G23" s="9" t="str">
        <f t="shared" si="1"/>
        <v>Moderate</v>
      </c>
    </row>
    <row r="24" spans="1:7" x14ac:dyDescent="0.25">
      <c r="A24" t="s">
        <v>20</v>
      </c>
      <c r="B24" t="s">
        <v>211</v>
      </c>
      <c r="C24" s="8">
        <f>SUMIFS('Raw Data'!$E$2:$E$187,'Raw Data'!$D$2:$D$187,$A24,'Raw Data'!$B$2:$B$187,VALUE(LEFT($B24,4)),'Raw Data'!$C$2:$C$187,RIGHT($B24,2))</f>
        <v>107470</v>
      </c>
      <c r="D24" s="9" cm="1">
        <f t="array" ref="D24">SUMPRODUCT(('Raw Data'!$D$2:$D$187=$A24)*('Raw Data'!$B$2:$B$187=(LEFT($B24,4)))*('Raw Data'!$C$2:$C$187=RIGHT($B24,2))*'Raw Data'!$G$2:$G$187)/C24</f>
        <v>0.39424927886852146</v>
      </c>
      <c r="E24" s="9" t="str">
        <f t="shared" si="0"/>
        <v>N/A</v>
      </c>
      <c r="F24" s="9" t="str" cm="1">
        <f t="array" ref="F24">IF(LEFT($B24,4)="2023","N/A",D24-INDEX($D$8:$D$39,MATCH($A24&amp;LEFT($B24,4)-1&amp;RIGHT($B24,2),$A$8:$A$39&amp;LEFT($B$8:$B$39,4)&amp;RIGHT($B$8:$B$39,2),0)))</f>
        <v>N/A</v>
      </c>
      <c r="G24" s="9" t="str">
        <f t="shared" si="1"/>
        <v>Strong</v>
      </c>
    </row>
    <row r="25" spans="1:7" x14ac:dyDescent="0.25">
      <c r="A25" t="s">
        <v>20</v>
      </c>
      <c r="B25" t="s">
        <v>212</v>
      </c>
      <c r="C25" s="8">
        <f>SUMIFS('Raw Data'!$E$2:$E$187,'Raw Data'!$D$2:$D$187,$A25,'Raw Data'!$B$2:$B$187,VALUE(LEFT($B25,4)),'Raw Data'!$C$2:$C$187,RIGHT($B25,2))</f>
        <v>83323</v>
      </c>
      <c r="D25" s="9" cm="1">
        <f t="array" ref="D25">SUMPRODUCT(('Raw Data'!$D$2:$D$187=$A25)*('Raw Data'!$B$2:$B$187=(LEFT($B25,4)))*('Raw Data'!$C$2:$C$187=RIGHT($B25,2))*'Raw Data'!$G$2:$G$187)/C25</f>
        <v>0.47396217130924229</v>
      </c>
      <c r="E25" s="9">
        <f t="shared" si="0"/>
        <v>7.9712892440720828E-2</v>
      </c>
      <c r="F25" s="9" t="str" cm="1">
        <f t="array" ref="F25">IF(LEFT($B25,4)="2023","N/A",D25-INDEX($D$8:$D$39,MATCH($A25&amp;LEFT($B25,4)-1&amp;RIGHT($B25,2),$A$8:$A$39&amp;LEFT($B$8:$B$39,4)&amp;RIGHT($B$8:$B$39,2),0)))</f>
        <v>N/A</v>
      </c>
      <c r="G25" s="9" t="str">
        <f t="shared" si="1"/>
        <v>Strong</v>
      </c>
    </row>
    <row r="26" spans="1:7" x14ac:dyDescent="0.25">
      <c r="A26" t="s">
        <v>20</v>
      </c>
      <c r="B26" t="s">
        <v>213</v>
      </c>
      <c r="C26" s="8">
        <f>SUMIFS('Raw Data'!$E$2:$E$187,'Raw Data'!$D$2:$D$187,$A26,'Raw Data'!$B$2:$B$187,VALUE(LEFT($B26,4)),'Raw Data'!$C$2:$C$187,RIGHT($B26,2))</f>
        <v>63580</v>
      </c>
      <c r="D26" s="9" cm="1">
        <f t="array" ref="D26">SUMPRODUCT(('Raw Data'!$D$2:$D$187=$A26)*('Raw Data'!$B$2:$B$187=(LEFT($B26,4)))*('Raw Data'!$C$2:$C$187=RIGHT($B26,2))*'Raw Data'!$G$2:$G$187)/C26</f>
        <v>0.44135011009751496</v>
      </c>
      <c r="E26" s="9">
        <f t="shared" si="0"/>
        <v>-3.2612061211727328E-2</v>
      </c>
      <c r="F26" s="9" t="str" cm="1">
        <f t="array" ref="F26">IF(LEFT($B26,4)="2023","N/A",D26-INDEX($D$8:$D$39,MATCH($A26&amp;LEFT($B26,4)-1&amp;RIGHT($B26,2),$A$8:$A$39&amp;LEFT($B$8:$B$39,4)&amp;RIGHT($B$8:$B$39,2),0)))</f>
        <v>N/A</v>
      </c>
      <c r="G26" s="9" t="str">
        <f t="shared" si="1"/>
        <v>Strong</v>
      </c>
    </row>
    <row r="27" spans="1:7" x14ac:dyDescent="0.25">
      <c r="A27" t="s">
        <v>20</v>
      </c>
      <c r="B27" t="s">
        <v>214</v>
      </c>
      <c r="C27" s="8">
        <f>SUMIFS('Raw Data'!$E$2:$E$187,'Raw Data'!$D$2:$D$187,$A27,'Raw Data'!$B$2:$B$187,VALUE(LEFT($B27,4)),'Raw Data'!$C$2:$C$187,RIGHT($B27,2))</f>
        <v>43251</v>
      </c>
      <c r="D27" s="9" cm="1">
        <f t="array" ref="D27">SUMPRODUCT(('Raw Data'!$D$2:$D$187=$A27)*('Raw Data'!$B$2:$B$187=(LEFT($B27,4)))*('Raw Data'!$C$2:$C$187=RIGHT($B27,2))*'Raw Data'!$G$2:$G$187)/C27</f>
        <v>0.39682712538438419</v>
      </c>
      <c r="E27" s="9">
        <f t="shared" si="0"/>
        <v>-4.4522984713130764E-2</v>
      </c>
      <c r="F27" s="9" t="str" cm="1">
        <f t="array" ref="F27">IF(LEFT($B27,4)="2023","N/A",D27-INDEX($D$8:$D$39,MATCH($A27&amp;LEFT($B27,4)-1&amp;RIGHT($B27,2),$A$8:$A$39&amp;LEFT($B$8:$B$39,4)&amp;RIGHT($B$8:$B$39,2),0)))</f>
        <v>N/A</v>
      </c>
      <c r="G27" s="9" t="str">
        <f t="shared" si="1"/>
        <v>Strong</v>
      </c>
    </row>
    <row r="28" spans="1:7" x14ac:dyDescent="0.25">
      <c r="A28" t="s">
        <v>20</v>
      </c>
      <c r="B28" t="s">
        <v>215</v>
      </c>
      <c r="C28" s="8">
        <f>SUMIFS('Raw Data'!$E$2:$E$187,'Raw Data'!$D$2:$D$187,$A28,'Raw Data'!$B$2:$B$187,VALUE(LEFT($B28,4)),'Raw Data'!$C$2:$C$187,RIGHT($B28,2))</f>
        <v>106680</v>
      </c>
      <c r="D28" s="9" cm="1">
        <f t="array" ref="D28">SUMPRODUCT(('Raw Data'!$D$2:$D$187=$A28)*('Raw Data'!$B$2:$B$187=(LEFT($B28,4)))*('Raw Data'!$C$2:$C$187=RIGHT($B28,2))*'Raw Data'!$G$2:$G$187)/C28</f>
        <v>0.42219206974128232</v>
      </c>
      <c r="E28" s="9">
        <f t="shared" si="0"/>
        <v>2.5364944356898123E-2</v>
      </c>
      <c r="F28" s="9" cm="1">
        <f t="array" ref="F28">IF(LEFT($B28,4)="2023","N/A",D28-INDEX($D$8:$D$39,MATCH($A28&amp;LEFT($B28,4)-1&amp;RIGHT($B28,2),$A$8:$A$39&amp;LEFT($B$8:$B$39,4)&amp;RIGHT($B$8:$B$39,2),0)))</f>
        <v>2.7942790872760859E-2</v>
      </c>
      <c r="G28" s="9" t="str">
        <f t="shared" si="1"/>
        <v>Strong</v>
      </c>
    </row>
    <row r="29" spans="1:7" x14ac:dyDescent="0.25">
      <c r="A29" t="s">
        <v>20</v>
      </c>
      <c r="B29" t="s">
        <v>216</v>
      </c>
      <c r="C29" s="8">
        <f>SUMIFS('Raw Data'!$E$2:$E$187,'Raw Data'!$D$2:$D$187,$A29,'Raw Data'!$B$2:$B$187,VALUE(LEFT($B29,4)),'Raw Data'!$C$2:$C$187,RIGHT($B29,2))</f>
        <v>59259</v>
      </c>
      <c r="D29" s="9" cm="1">
        <f t="array" ref="D29">SUMPRODUCT(('Raw Data'!$D$2:$D$187=$A29)*('Raw Data'!$B$2:$B$187=(LEFT($B29,4)))*('Raw Data'!$C$2:$C$187=RIGHT($B29,2))*'Raw Data'!$G$2:$G$187)/C29</f>
        <v>0.50069339678361102</v>
      </c>
      <c r="E29" s="9">
        <f t="shared" si="0"/>
        <v>7.8501327042328706E-2</v>
      </c>
      <c r="F29" s="9" cm="1">
        <f t="array" ref="F29">IF(LEFT($B29,4)="2023","N/A",D29-INDEX($D$8:$D$39,MATCH($A29&amp;LEFT($B29,4)-1&amp;RIGHT($B29,2),$A$8:$A$39&amp;LEFT($B$8:$B$39,4)&amp;RIGHT($B$8:$B$39,2),0)))</f>
        <v>2.6731225474368736E-2</v>
      </c>
      <c r="G29" s="9" t="str">
        <f t="shared" si="1"/>
        <v>Strong</v>
      </c>
    </row>
    <row r="30" spans="1:7" x14ac:dyDescent="0.25">
      <c r="A30" t="s">
        <v>20</v>
      </c>
      <c r="B30" t="s">
        <v>217</v>
      </c>
      <c r="C30" s="8">
        <f>SUMIFS('Raw Data'!$E$2:$E$187,'Raw Data'!$D$2:$D$187,$A30,'Raw Data'!$B$2:$B$187,VALUE(LEFT($B30,4)),'Raw Data'!$C$2:$C$187,RIGHT($B30,2))</f>
        <v>58225</v>
      </c>
      <c r="D30" s="9" cm="1">
        <f t="array" ref="D30">SUMPRODUCT(('Raw Data'!$D$2:$D$187=$A30)*('Raw Data'!$B$2:$B$187=(LEFT($B30,4)))*('Raw Data'!$C$2:$C$187=RIGHT($B30,2))*'Raw Data'!$G$2:$G$187)/C30</f>
        <v>0.44809205667668522</v>
      </c>
      <c r="E30" s="9">
        <f t="shared" si="0"/>
        <v>-5.2601340106925798E-2</v>
      </c>
      <c r="F30" s="9" cm="1">
        <f t="array" ref="F30">IF(LEFT($B30,4)="2023","N/A",D30-INDEX($D$8:$D$39,MATCH($A30&amp;LEFT($B30,4)-1&amp;RIGHT($B30,2),$A$8:$A$39&amp;LEFT($B$8:$B$39,4)&amp;RIGHT($B$8:$B$39,2),0)))</f>
        <v>6.741946579170266E-3</v>
      </c>
      <c r="G30" s="9" t="str">
        <f t="shared" si="1"/>
        <v>Strong</v>
      </c>
    </row>
    <row r="31" spans="1:7" x14ac:dyDescent="0.25">
      <c r="A31" t="s">
        <v>20</v>
      </c>
      <c r="B31" t="s">
        <v>218</v>
      </c>
      <c r="C31" s="8">
        <f>SUMIFS('Raw Data'!$E$2:$E$187,'Raw Data'!$D$2:$D$187,$A31,'Raw Data'!$B$2:$B$187,VALUE(LEFT($B31,4)),'Raw Data'!$C$2:$C$187,RIGHT($B31,2))</f>
        <v>64804</v>
      </c>
      <c r="D31" s="9" cm="1">
        <f t="array" ref="D31">SUMPRODUCT(('Raw Data'!$D$2:$D$187=$A31)*('Raw Data'!$B$2:$B$187=(LEFT($B31,4)))*('Raw Data'!$C$2:$C$187=RIGHT($B31,2))*'Raw Data'!$G$2:$G$187)/C31</f>
        <v>0.50698814887969879</v>
      </c>
      <c r="E31" s="9">
        <f t="shared" si="0"/>
        <v>5.8896092203013561E-2</v>
      </c>
      <c r="F31" s="9" cm="1">
        <f t="array" ref="F31">IF(LEFT($B31,4)="2023","N/A",D31-INDEX($D$8:$D$39,MATCH($A31&amp;LEFT($B31,4)-1&amp;RIGHT($B31,2),$A$8:$A$39&amp;LEFT($B$8:$B$39,4)&amp;RIGHT($B$8:$B$39,2),0)))</f>
        <v>0.11016102349531459</v>
      </c>
      <c r="G31" s="9" t="str">
        <f t="shared" si="1"/>
        <v>Strong</v>
      </c>
    </row>
    <row r="32" spans="1:7" x14ac:dyDescent="0.25">
      <c r="A32" t="s">
        <v>29</v>
      </c>
      <c r="B32" t="s">
        <v>211</v>
      </c>
      <c r="C32" s="8">
        <f>SUMIFS('Raw Data'!$E$2:$E$187,'Raw Data'!$D$2:$D$187,$A32,'Raw Data'!$B$2:$B$187,VALUE(LEFT($B32,4)),'Raw Data'!$C$2:$C$187,RIGHT($B32,2))</f>
        <v>30131</v>
      </c>
      <c r="D32" s="9" cm="1">
        <f t="array" ref="D32">SUMPRODUCT(('Raw Data'!$D$2:$D$187=$A32)*('Raw Data'!$B$2:$B$187=(LEFT($B32,4)))*('Raw Data'!$C$2:$C$187=RIGHT($B32,2))*'Raw Data'!$G$2:$G$187)/C32</f>
        <v>0.18221599017623047</v>
      </c>
      <c r="E32" s="9" t="str">
        <f t="shared" si="0"/>
        <v>N/A</v>
      </c>
      <c r="F32" s="9" t="str" cm="1">
        <f t="array" ref="F32">IF(LEFT($B32,4)="2023","N/A",D32-INDEX($D$8:$D$39,MATCH($A32&amp;LEFT($B32,4)-1&amp;RIGHT($B32,2),$A$8:$A$39&amp;LEFT($B$8:$B$39,4)&amp;RIGHT($B$8:$B$39,2),0)))</f>
        <v>N/A</v>
      </c>
      <c r="G32" s="9" t="str">
        <f t="shared" si="1"/>
        <v>At Risk</v>
      </c>
    </row>
    <row r="33" spans="1:7" x14ac:dyDescent="0.25">
      <c r="A33" t="s">
        <v>29</v>
      </c>
      <c r="B33" t="s">
        <v>212</v>
      </c>
      <c r="C33" s="8">
        <f>SUMIFS('Raw Data'!$E$2:$E$187,'Raw Data'!$D$2:$D$187,$A33,'Raw Data'!$B$2:$B$187,VALUE(LEFT($B33,4)),'Raw Data'!$C$2:$C$187,RIGHT($B33,2))</f>
        <v>40638</v>
      </c>
      <c r="D33" s="9" cm="1">
        <f t="array" ref="D33">SUMPRODUCT(('Raw Data'!$D$2:$D$187=$A33)*('Raw Data'!$B$2:$B$187=(LEFT($B33,4)))*('Raw Data'!$C$2:$C$187=RIGHT($B33,2))*'Raw Data'!$G$2:$G$187)/C33</f>
        <v>0.18293272306708008</v>
      </c>
      <c r="E33" s="9">
        <f t="shared" si="0"/>
        <v>7.16732890849614E-4</v>
      </c>
      <c r="F33" s="9" t="str" cm="1">
        <f t="array" ref="F33">IF(LEFT($B33,4)="2023","N/A",D33-INDEX($D$8:$D$39,MATCH($A33&amp;LEFT($B33,4)-1&amp;RIGHT($B33,2),$A$8:$A$39&amp;LEFT($B$8:$B$39,4)&amp;RIGHT($B$8:$B$39,2),0)))</f>
        <v>N/A</v>
      </c>
      <c r="G33" s="9" t="str">
        <f t="shared" si="1"/>
        <v>At Risk</v>
      </c>
    </row>
    <row r="34" spans="1:7" x14ac:dyDescent="0.25">
      <c r="A34" t="s">
        <v>29</v>
      </c>
      <c r="B34" t="s">
        <v>213</v>
      </c>
      <c r="C34" s="8">
        <f>SUMIFS('Raw Data'!$E$2:$E$187,'Raw Data'!$D$2:$D$187,$A34,'Raw Data'!$B$2:$B$187,VALUE(LEFT($B34,4)),'Raw Data'!$C$2:$C$187,RIGHT($B34,2))</f>
        <v>29595</v>
      </c>
      <c r="D34" s="9" cm="1">
        <f t="array" ref="D34">SUMPRODUCT(('Raw Data'!$D$2:$D$187=$A34)*('Raw Data'!$B$2:$B$187=(LEFT($B34,4)))*('Raw Data'!$C$2:$C$187=RIGHT($B34,2))*'Raw Data'!$G$2:$G$187)/C34</f>
        <v>0.17840851495184998</v>
      </c>
      <c r="E34" s="9">
        <f t="shared" si="0"/>
        <v>-4.524208115230105E-3</v>
      </c>
      <c r="F34" s="9" t="str" cm="1">
        <f t="array" ref="F34">IF(LEFT($B34,4)="2023","N/A",D34-INDEX($D$8:$D$39,MATCH($A34&amp;LEFT($B34,4)-1&amp;RIGHT($B34,2),$A$8:$A$39&amp;LEFT($B$8:$B$39,4)&amp;RIGHT($B$8:$B$39,2),0)))</f>
        <v>N/A</v>
      </c>
      <c r="G34" s="9" t="str">
        <f t="shared" si="1"/>
        <v>At Risk</v>
      </c>
    </row>
    <row r="35" spans="1:7" x14ac:dyDescent="0.25">
      <c r="A35" t="s">
        <v>29</v>
      </c>
      <c r="B35" t="s">
        <v>214</v>
      </c>
      <c r="C35" s="8">
        <f>SUMIFS('Raw Data'!$E$2:$E$187,'Raw Data'!$D$2:$D$187,$A35,'Raw Data'!$B$2:$B$187,VALUE(LEFT($B35,4)),'Raw Data'!$C$2:$C$187,RIGHT($B35,2))</f>
        <v>12873</v>
      </c>
      <c r="D35" s="9" cm="1">
        <f t="array" ref="D35">SUMPRODUCT(('Raw Data'!$D$2:$D$187=$A35)*('Raw Data'!$B$2:$B$187=(LEFT($B35,4)))*('Raw Data'!$C$2:$C$187=RIGHT($B35,2))*'Raw Data'!$G$2:$G$187)/C35</f>
        <v>0.19335275382583703</v>
      </c>
      <c r="E35" s="9">
        <f t="shared" si="0"/>
        <v>1.4944238873987048E-2</v>
      </c>
      <c r="F35" s="9" t="str" cm="1">
        <f t="array" ref="F35">IF(LEFT($B35,4)="2023","N/A",D35-INDEX($D$8:$D$39,MATCH($A35&amp;LEFT($B35,4)-1&amp;RIGHT($B35,2),$A$8:$A$39&amp;LEFT($B$8:$B$39,4)&amp;RIGHT($B$8:$B$39,2),0)))</f>
        <v>N/A</v>
      </c>
      <c r="G35" s="9" t="str">
        <f t="shared" si="1"/>
        <v>At Risk</v>
      </c>
    </row>
    <row r="36" spans="1:7" x14ac:dyDescent="0.25">
      <c r="A36" t="s">
        <v>29</v>
      </c>
      <c r="B36" t="s">
        <v>215</v>
      </c>
      <c r="C36" s="8">
        <f>SUMIFS('Raw Data'!$E$2:$E$187,'Raw Data'!$D$2:$D$187,$A36,'Raw Data'!$B$2:$B$187,VALUE(LEFT($B36,4)),'Raw Data'!$C$2:$C$187,RIGHT($B36,2))</f>
        <v>38208</v>
      </c>
      <c r="D36" s="9" cm="1">
        <f t="array" ref="D36">SUMPRODUCT(('Raw Data'!$D$2:$D$187=$A36)*('Raw Data'!$B$2:$B$187=(LEFT($B36,4)))*('Raw Data'!$C$2:$C$187=RIGHT($B36,2))*'Raw Data'!$G$2:$G$187)/C36</f>
        <v>0.19668577261306536</v>
      </c>
      <c r="E36" s="9">
        <f t="shared" si="0"/>
        <v>3.3330187872283312E-3</v>
      </c>
      <c r="F36" s="9" cm="1">
        <f t="array" ref="F36">IF(LEFT($B36,4)="2023","N/A",D36-INDEX($D$8:$D$39,MATCH($A36&amp;LEFT($B36,4)-1&amp;RIGHT($B36,2),$A$8:$A$39&amp;LEFT($B$8:$B$39,4)&amp;RIGHT($B$8:$B$39,2),0)))</f>
        <v>1.4469782436834888E-2</v>
      </c>
      <c r="G36" s="9" t="str">
        <f t="shared" si="1"/>
        <v>At Risk</v>
      </c>
    </row>
    <row r="37" spans="1:7" x14ac:dyDescent="0.25">
      <c r="A37" t="s">
        <v>29</v>
      </c>
      <c r="B37" t="s">
        <v>216</v>
      </c>
      <c r="C37" s="8">
        <f>SUMIFS('Raw Data'!$E$2:$E$187,'Raw Data'!$D$2:$D$187,$A37,'Raw Data'!$B$2:$B$187,VALUE(LEFT($B37,4)),'Raw Data'!$C$2:$C$187,RIGHT($B37,2))</f>
        <v>21110</v>
      </c>
      <c r="D37" s="9" cm="1">
        <f t="array" ref="D37">SUMPRODUCT(('Raw Data'!$D$2:$D$187=$A37)*('Raw Data'!$B$2:$B$187=(LEFT($B37,4)))*('Raw Data'!$C$2:$C$187=RIGHT($B37,2))*'Raw Data'!$G$2:$G$187)/C37</f>
        <v>0.21247086688773095</v>
      </c>
      <c r="E37" s="9">
        <f t="shared" si="0"/>
        <v>1.5785094274665595E-2</v>
      </c>
      <c r="F37" s="9" cm="1">
        <f t="array" ref="F37">IF(LEFT($B37,4)="2023","N/A",D37-INDEX($D$8:$D$39,MATCH($A37&amp;LEFT($B37,4)-1&amp;RIGHT($B37,2),$A$8:$A$39&amp;LEFT($B$8:$B$39,4)&amp;RIGHT($B$8:$B$39,2),0)))</f>
        <v>2.953814382065087E-2</v>
      </c>
      <c r="G37" s="9" t="str">
        <f t="shared" si="1"/>
        <v>Moderate</v>
      </c>
    </row>
    <row r="38" spans="1:7" x14ac:dyDescent="0.25">
      <c r="A38" t="s">
        <v>29</v>
      </c>
      <c r="B38" t="s">
        <v>217</v>
      </c>
      <c r="C38" s="8">
        <f>SUMIFS('Raw Data'!$E$2:$E$187,'Raw Data'!$D$2:$D$187,$A38,'Raw Data'!$B$2:$B$187,VALUE(LEFT($B38,4)),'Raw Data'!$C$2:$C$187,RIGHT($B38,2))</f>
        <v>18973</v>
      </c>
      <c r="D38" s="9" cm="1">
        <f t="array" ref="D38">SUMPRODUCT(('Raw Data'!$D$2:$D$187=$A38)*('Raw Data'!$B$2:$B$187=(LEFT($B38,4)))*('Raw Data'!$C$2:$C$187=RIGHT($B38,2))*'Raw Data'!$G$2:$G$187)/C38</f>
        <v>0.21671744057344652</v>
      </c>
      <c r="E38" s="9">
        <f t="shared" si="0"/>
        <v>4.2465736857155711E-3</v>
      </c>
      <c r="F38" s="9" cm="1">
        <f t="array" ref="F38">IF(LEFT($B38,4)="2023","N/A",D38-INDEX($D$8:$D$39,MATCH($A38&amp;LEFT($B38,4)-1&amp;RIGHT($B38,2),$A$8:$A$39&amp;LEFT($B$8:$B$39,4)&amp;RIGHT($B$8:$B$39,2),0)))</f>
        <v>3.8308925621596546E-2</v>
      </c>
      <c r="G38" s="9" t="str">
        <f t="shared" si="1"/>
        <v>Moderate</v>
      </c>
    </row>
    <row r="39" spans="1:7" x14ac:dyDescent="0.25">
      <c r="A39" t="s">
        <v>29</v>
      </c>
      <c r="B39" t="s">
        <v>218</v>
      </c>
      <c r="C39" s="8">
        <f>SUMIFS('Raw Data'!$E$2:$E$187,'Raw Data'!$D$2:$D$187,$A39,'Raw Data'!$B$2:$B$187,VALUE(LEFT($B39,4)),'Raw Data'!$C$2:$C$187,RIGHT($B39,2))</f>
        <v>35036</v>
      </c>
      <c r="D39" s="9" cm="1">
        <f t="array" ref="D39">SUMPRODUCT(('Raw Data'!$D$2:$D$187=$A39)*('Raw Data'!$B$2:$B$187=(LEFT($B39,4)))*('Raw Data'!$C$2:$C$187=RIGHT($B39,2))*'Raw Data'!$G$2:$G$187)/C39</f>
        <v>0.18999657495147845</v>
      </c>
      <c r="E39" s="9">
        <f t="shared" si="0"/>
        <v>-2.6720865621968071E-2</v>
      </c>
      <c r="F39" s="9" cm="1">
        <f t="array" ref="F39">IF(LEFT($B39,4)="2023","N/A",D39-INDEX($D$8:$D$39,MATCH($A39&amp;LEFT($B39,4)-1&amp;RIGHT($B39,2),$A$8:$A$39&amp;LEFT($B$8:$B$39,4)&amp;RIGHT($B$8:$B$39,2),0)))</f>
        <v>-3.356178874358573E-3</v>
      </c>
      <c r="G39" s="9" t="str">
        <f t="shared" si="1"/>
        <v>At Risk</v>
      </c>
    </row>
    <row r="43" spans="1:7" ht="15.75" x14ac:dyDescent="0.25">
      <c r="A43" s="3" t="s">
        <v>219</v>
      </c>
    </row>
    <row r="44" spans="1:7" x14ac:dyDescent="0.25">
      <c r="A44" s="10" t="s">
        <v>220</v>
      </c>
      <c r="B44" s="11"/>
      <c r="C44" s="11"/>
      <c r="D44" s="11"/>
      <c r="E44" s="11"/>
      <c r="F44" s="11"/>
      <c r="G44" s="11"/>
    </row>
  </sheetData>
  <mergeCells count="2">
    <mergeCell ref="A3:H3"/>
    <mergeCell ref="A1:H1"/>
  </mergeCells>
  <conditionalFormatting sqref="G8:G39">
    <cfRule type="cellIs" dxfId="5" priority="1" operator="equal">
      <formula>"Strong"</formula>
    </cfRule>
  </conditionalFormatting>
  <conditionalFormatting sqref="G8:G39">
    <cfRule type="cellIs" dxfId="4" priority="2" operator="equal">
      <formula>"Moderate"</formula>
    </cfRule>
  </conditionalFormatting>
  <conditionalFormatting sqref="G8:G39">
    <cfRule type="cellIs" dxfId="3" priority="3" operator="equal">
      <formula>"At Risk"</formula>
    </cfRule>
  </conditionalFormatting>
  <conditionalFormatting sqref="G8:G39">
    <cfRule type="cellIs" dxfId="2" priority="4" operator="equal">
      <formula>"Strong"</formula>
    </cfRule>
  </conditionalFormatting>
  <conditionalFormatting sqref="G8:G39">
    <cfRule type="cellIs" dxfId="1" priority="5" operator="equal">
      <formula>"Moderate"</formula>
    </cfRule>
  </conditionalFormatting>
  <conditionalFormatting sqref="G8:G39">
    <cfRule type="cellIs" dxfId="0" priority="6" operator="equal">
      <formula>"At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Archange</cp:lastModifiedBy>
  <dcterms:created xsi:type="dcterms:W3CDTF">2026-01-09T05:26:29Z</dcterms:created>
  <dcterms:modified xsi:type="dcterms:W3CDTF">2026-01-16T11:44:17Z</dcterms:modified>
</cp:coreProperties>
</file>